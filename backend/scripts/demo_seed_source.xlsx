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<sst xmlns="http://schemas.openxmlformats.org/spreadsheetml/2006/main" count="235" uniqueCount="57">
  <si>
    <t>Event Calculator</t>
  </si>
  <si>
    <t>Event Name</t>
  </si>
  <si>
    <t>Best of Drill</t>
  </si>
  <si>
    <t>Miss Drill Utah</t>
  </si>
  <si>
    <t>Skyridge Football Game</t>
  </si>
  <si>
    <t>Marmilade Jam Fest</t>
  </si>
  <si>
    <t>Aloha Foodie Market</t>
  </si>
  <si>
    <t>Type of Event</t>
  </si>
  <si>
    <t>Dance</t>
  </si>
  <si>
    <t>Football Game</t>
  </si>
  <si>
    <t>Music</t>
  </si>
  <si>
    <t>Food Market</t>
  </si>
  <si>
    <t>Event Dates</t>
  </si>
  <si>
    <t xml:space="preserve">Number of Days for Event </t>
  </si>
  <si>
    <t>squareLocationId</t>
  </si>
  <si>
    <t>LVYBM098599TD</t>
  </si>
  <si>
    <t>L29CDXV71TXHW</t>
  </si>
  <si>
    <t>L0Y3QBSRV39VN</t>
  </si>
  <si>
    <t>Event Coordinator</t>
  </si>
  <si>
    <t>Ciera</t>
  </si>
  <si>
    <t>Ben</t>
  </si>
  <si>
    <t>Steve</t>
  </si>
  <si>
    <t>Melanie</t>
  </si>
  <si>
    <t>Gross Sales</t>
  </si>
  <si>
    <t>Returns</t>
  </si>
  <si>
    <t>Discounts &amp; Comps</t>
  </si>
  <si>
    <t>Net Sales</t>
  </si>
  <si>
    <t>Tips (Non-Cash)</t>
  </si>
  <si>
    <t>Gift Card Sales</t>
  </si>
  <si>
    <t>Total Sales</t>
  </si>
  <si>
    <t>Cash</t>
  </si>
  <si>
    <t>Card</t>
  </si>
  <si>
    <t>Other</t>
  </si>
  <si>
    <t>Venmo</t>
  </si>
  <si>
    <t>Cash App</t>
  </si>
  <si>
    <t>Gift Card</t>
  </si>
  <si>
    <t>Total Collected</t>
  </si>
  <si>
    <t>Food Tax</t>
  </si>
  <si>
    <t>Total</t>
  </si>
  <si>
    <t>Square/BYU Fees</t>
  </si>
  <si>
    <t>Total Net Revenue</t>
  </si>
  <si>
    <t>Health Department Fee</t>
  </si>
  <si>
    <t>Event Fee</t>
  </si>
  <si>
    <t>Supply Fees</t>
  </si>
  <si>
    <t>Drink Sales</t>
  </si>
  <si>
    <t>Additional Fees (rentals, delivery, etc)</t>
  </si>
  <si>
    <t>Mileage &amp; Reimbursement Fees</t>
  </si>
  <si>
    <t>Labor Fees</t>
  </si>
  <si>
    <t>Event Runner Fee</t>
  </si>
  <si>
    <t>Employee Bonus</t>
  </si>
  <si>
    <t>Total Expenses</t>
  </si>
  <si>
    <t>Profit Gross</t>
  </si>
  <si>
    <t>Event Coordinator Fee (10%)</t>
  </si>
  <si>
    <t>Net Profit</t>
  </si>
  <si>
    <t>Utah State Tax (3%)</t>
  </si>
  <si>
    <t>Federal Taxes (20%)</t>
  </si>
  <si>
    <t>Final Profit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</si>
</sst>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m/dd/yy"/>
    <numFmt numFmtId="166" formatCode="&quot;$&quot;#,##0.00"/>
  </numFmts>
  <fonts count="4">
    <font>
      <sz val="10.0"/>
      <color rgb="FF000000"/>
      <name val="Arial"/>
      <scheme val="minor"/>
    </font>
    <font>
      <sz val="12.0"/>
      <color theme="1"/>
      <name val="Arial"/>
    </font>
    <font/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EDEDE"/>
        <bgColor rgb="FFDEDEDE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2" numFmtId="0" xfId="0" applyBorder="1" applyFont="1"/>
    <xf borderId="3" fillId="2" fontId="2" numFmtId="0" xfId="0" applyBorder="1" applyFont="1"/>
    <xf borderId="4" fillId="3" fontId="1" numFmtId="0" xfId="0" applyAlignment="1" applyBorder="1" applyFill="1" applyFont="1">
      <alignment horizontal="center" shrinkToFit="0" wrapText="1"/>
    </xf>
    <xf borderId="0" fillId="3" fontId="1" numFmtId="0" xfId="0" applyAlignment="1" applyFont="1">
      <alignment horizontal="center" shrinkToFit="0" wrapText="1"/>
    </xf>
    <xf borderId="5" fillId="3" fontId="2" numFmtId="0" xfId="0" applyBorder="1" applyFont="1"/>
    <xf borderId="4" fillId="4" fontId="1" numFmtId="0" xfId="0" applyAlignment="1" applyBorder="1" applyFill="1" applyFont="1">
      <alignment horizontal="center" shrinkToFit="0" wrapText="1"/>
    </xf>
    <xf borderId="0" fillId="4" fontId="1" numFmtId="0" xfId="0" applyAlignment="1" applyFont="1">
      <alignment horizontal="center" shrinkToFit="0" wrapText="1"/>
    </xf>
    <xf borderId="5" fillId="4" fontId="2" numFmtId="0" xfId="0" applyBorder="1" applyFont="1"/>
    <xf borderId="0" fillId="4" fontId="1" numFmtId="0" xfId="0" applyAlignment="1" applyFont="1">
      <alignment horizontal="center" readingOrder="0"/>
    </xf>
    <xf borderId="0" fillId="3" fontId="1" numFmtId="164" xfId="0" applyAlignment="1" applyFont="1" applyNumberFormat="1">
      <alignment horizontal="center" shrinkToFit="0" wrapText="1"/>
    </xf>
    <xf borderId="0" fillId="3" fontId="1" numFmtId="165" xfId="0" applyAlignment="1" applyFont="1" applyNumberFormat="1">
      <alignment horizontal="center" shrinkToFit="0" wrapText="1"/>
    </xf>
    <xf borderId="4" fillId="3" fontId="1" numFmtId="0" xfId="0" applyAlignment="1" applyBorder="1" applyFont="1">
      <alignment horizontal="center" readingOrder="0" shrinkToFit="0" wrapText="1"/>
    </xf>
    <xf borderId="0" fillId="3" fontId="1" numFmtId="0" xfId="0" applyAlignment="1" applyFont="1">
      <alignment horizontal="center" readingOrder="0" shrinkToFit="0" wrapText="1"/>
    </xf>
    <xf borderId="0" fillId="4" fontId="3" numFmtId="0" xfId="0" applyAlignment="1" applyFont="1">
      <alignment horizontal="center" readingOrder="0"/>
    </xf>
    <xf borderId="4" fillId="3" fontId="3" numFmtId="0" xfId="0" applyBorder="1" applyFont="1"/>
    <xf borderId="0" fillId="4" fontId="1" numFmtId="166" xfId="0" applyAlignment="1" applyFont="1" applyNumberFormat="1">
      <alignment horizontal="center" shrinkToFit="0" wrapText="1"/>
    </xf>
    <xf borderId="0" fillId="3" fontId="1" numFmtId="166" xfId="0" applyAlignment="1" applyFont="1" applyNumberFormat="1">
      <alignment horizontal="center" shrinkToFit="0" wrapText="1"/>
    </xf>
    <xf borderId="4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4" fillId="3" fontId="3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0" fillId="4" fontId="1" numFmtId="166" xfId="0" applyAlignment="1" applyFont="1" applyNumberFormat="1">
      <alignment horizontal="center" shrinkToFit="0" wrapText="1"/>
    </xf>
    <xf borderId="0" fillId="4" fontId="3" numFmtId="166" xfId="0" applyFont="1" applyNumberFormat="1"/>
    <xf borderId="4" fillId="4" fontId="3" numFmtId="0" xfId="0" applyBorder="1" applyFont="1"/>
    <xf borderId="0" fillId="4" fontId="3" numFmtId="0" xfId="0" applyFont="1"/>
    <xf borderId="0" fillId="3" fontId="3" numFmtId="0" xfId="0" applyFont="1"/>
    <xf borderId="0" fillId="3" fontId="3" numFmtId="166" xfId="0" applyFont="1" applyNumberFormat="1"/>
    <xf borderId="6" fillId="5" fontId="1" numFmtId="0" xfId="0" applyAlignment="1" applyBorder="1" applyFill="1" applyFont="1">
      <alignment horizontal="center" shrinkToFit="0" wrapText="1"/>
    </xf>
    <xf borderId="7" fillId="5" fontId="2" numFmtId="0" xfId="0" applyBorder="1" applyFont="1"/>
    <xf borderId="7" fillId="5" fontId="1" numFmtId="166" xfId="0" applyAlignment="1" applyBorder="1" applyFont="1" applyNumberFormat="1">
      <alignment horizontal="center" shrinkToFit="0" wrapText="1"/>
    </xf>
    <xf borderId="8" fillId="5" fontId="2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G1" s="1" t="s">
        <v>0</v>
      </c>
      <c r="H1" s="2"/>
      <c r="I1" s="2"/>
      <c r="J1" s="2"/>
      <c r="K1" s="3"/>
      <c r="M1" s="1" t="s">
        <v>0</v>
      </c>
      <c r="N1" s="2"/>
      <c r="O1" s="2"/>
      <c r="P1" s="2"/>
      <c r="Q1" s="3"/>
      <c r="S1" s="1" t="s">
        <v>0</v>
      </c>
      <c r="T1" s="2"/>
      <c r="U1" s="2"/>
      <c r="V1" s="2"/>
      <c r="W1" s="3"/>
      <c r="Y1" s="1" t="s">
        <v>0</v>
      </c>
      <c r="Z1" s="2"/>
      <c r="AA1" s="2"/>
      <c r="AB1" s="2"/>
      <c r="AC1" s="3"/>
    </row>
    <row r="2">
      <c r="A2" s="4" t="s">
        <v>1</v>
      </c>
      <c r="C2" s="5" t="s">
        <v>2</v>
      </c>
      <c r="E2" s="6"/>
      <c r="G2" s="4" t="s">
        <v>1</v>
      </c>
      <c r="I2" s="5" t="s">
        <v>3</v>
      </c>
      <c r="K2" s="6"/>
      <c r="M2" s="4" t="s">
        <v>1</v>
      </c>
      <c r="O2" s="5" t="s">
        <v>4</v>
      </c>
      <c r="Q2" s="6"/>
      <c r="S2" s="4" t="s">
        <v>1</v>
      </c>
      <c r="U2" s="5" t="s">
        <v>5</v>
      </c>
      <c r="W2" s="6"/>
      <c r="Y2" s="4" t="s">
        <v>1</v>
      </c>
      <c r="AA2" s="5" t="s">
        <v>6</v>
      </c>
      <c r="AC2" s="6"/>
    </row>
    <row r="3">
      <c r="A3" s="7" t="s">
        <v>7</v>
      </c>
      <c r="C3" s="8" t="s">
        <v>8</v>
      </c>
      <c r="E3" s="9"/>
      <c r="G3" s="7" t="s">
        <v>7</v>
      </c>
      <c r="I3" s="8" t="s">
        <v>8</v>
      </c>
      <c r="K3" s="9"/>
      <c r="M3" s="7" t="s">
        <v>7</v>
      </c>
      <c r="O3" s="8" t="s">
        <v>9</v>
      </c>
      <c r="Q3" s="9"/>
      <c r="S3" s="7" t="s">
        <v>7</v>
      </c>
      <c r="U3" s="10" t="s">
        <v>10</v>
      </c>
      <c r="W3" s="9"/>
      <c r="Y3" s="7" t="s">
        <v>7</v>
      </c>
      <c r="AA3" s="8" t="s">
        <v>11</v>
      </c>
      <c r="AC3" s="9"/>
    </row>
    <row r="4">
      <c r="A4" s="4" t="s">
        <v>12</v>
      </c>
      <c r="C4" s="11">
        <v>46011.0</v>
      </c>
      <c r="E4" s="6"/>
      <c r="G4" s="4" t="s">
        <v>12</v>
      </c>
      <c r="I4" s="12">
        <v>45939.0</v>
      </c>
      <c r="K4" s="6"/>
      <c r="M4" s="4" t="s">
        <v>12</v>
      </c>
      <c r="O4" s="12">
        <v>45932.0</v>
      </c>
      <c r="Q4" s="6"/>
      <c r="S4" s="4" t="s">
        <v>12</v>
      </c>
      <c r="U4" s="12">
        <v>45927.0</v>
      </c>
      <c r="W4" s="6"/>
      <c r="Y4" s="4" t="s">
        <v>12</v>
      </c>
      <c r="AA4" s="12">
        <v>45897.0</v>
      </c>
      <c r="AC4" s="6"/>
    </row>
    <row r="5">
      <c r="A5" s="7" t="s">
        <v>13</v>
      </c>
      <c r="C5" s="8">
        <v>1.0</v>
      </c>
      <c r="E5" s="9"/>
      <c r="G5" s="7" t="s">
        <v>13</v>
      </c>
      <c r="I5" s="8">
        <v>1.0</v>
      </c>
      <c r="K5" s="9"/>
      <c r="M5" s="7" t="s">
        <v>13</v>
      </c>
      <c r="O5" s="8">
        <v>1.0</v>
      </c>
      <c r="Q5" s="9"/>
      <c r="S5" s="7" t="s">
        <v>13</v>
      </c>
      <c r="U5" s="8">
        <v>1.0</v>
      </c>
      <c r="W5" s="9"/>
      <c r="Y5" s="7" t="s">
        <v>13</v>
      </c>
      <c r="AA5" s="8">
        <v>1.0</v>
      </c>
      <c r="AC5" s="9"/>
    </row>
    <row r="6">
      <c r="A6" s="13" t="s">
        <v>14</v>
      </c>
      <c r="C6" s="14" t="s">
        <v>15</v>
      </c>
      <c r="E6" s="6"/>
      <c r="G6" s="13" t="s">
        <v>14</v>
      </c>
      <c r="I6" s="14" t="s">
        <v>16</v>
      </c>
      <c r="K6" s="6"/>
      <c r="M6" s="13" t="s">
        <v>14</v>
      </c>
      <c r="O6" s="14" t="s">
        <v>16</v>
      </c>
      <c r="Q6" s="6"/>
      <c r="S6" s="13" t="s">
        <v>14</v>
      </c>
      <c r="U6" s="14" t="s">
        <v>16</v>
      </c>
      <c r="W6" s="6"/>
      <c r="Y6" s="13" t="s">
        <v>14</v>
      </c>
      <c r="AA6" s="14" t="s">
        <v>17</v>
      </c>
      <c r="AC6" s="6"/>
    </row>
    <row r="7">
      <c r="A7" s="7" t="s">
        <v>18</v>
      </c>
      <c r="C7" s="10" t="s">
        <v>19</v>
      </c>
      <c r="E7" s="9"/>
      <c r="G7" s="7" t="s">
        <v>18</v>
      </c>
      <c r="I7" s="10" t="s">
        <v>20</v>
      </c>
      <c r="K7" s="9"/>
      <c r="M7" s="7" t="s">
        <v>18</v>
      </c>
      <c r="O7" s="10" t="s">
        <v>21</v>
      </c>
      <c r="Q7" s="9"/>
      <c r="S7" s="7" t="s">
        <v>18</v>
      </c>
      <c r="U7" s="15" t="s">
        <v>21</v>
      </c>
      <c r="W7" s="9"/>
      <c r="Y7" s="7" t="s">
        <v>18</v>
      </c>
      <c r="AA7" s="8" t="s">
        <v>22</v>
      </c>
      <c r="AC7" s="9"/>
    </row>
    <row r="8">
      <c r="A8" s="16"/>
      <c r="E8" s="6"/>
      <c r="G8" s="16"/>
      <c r="K8" s="6"/>
      <c r="M8" s="16"/>
      <c r="Q8" s="6"/>
      <c r="S8" s="16"/>
      <c r="W8" s="6"/>
      <c r="Y8" s="16"/>
      <c r="AC8" s="6"/>
    </row>
    <row r="9">
      <c r="A9" s="7" t="s">
        <v>23</v>
      </c>
      <c r="C9" s="17">
        <v>1322.0</v>
      </c>
      <c r="E9" s="9"/>
      <c r="G9" s="7" t="s">
        <v>23</v>
      </c>
      <c r="I9" s="17">
        <v>947.0</v>
      </c>
      <c r="K9" s="9"/>
      <c r="M9" s="7" t="s">
        <v>23</v>
      </c>
      <c r="O9" s="17">
        <v>1346.0</v>
      </c>
      <c r="Q9" s="9"/>
      <c r="S9" s="7" t="s">
        <v>23</v>
      </c>
      <c r="U9" s="17">
        <v>1154.0</v>
      </c>
      <c r="W9" s="9"/>
      <c r="Y9" s="7" t="s">
        <v>23</v>
      </c>
      <c r="AA9" s="17">
        <v>263.0</v>
      </c>
      <c r="AC9" s="9"/>
    </row>
    <row r="10">
      <c r="A10" s="4" t="s">
        <v>24</v>
      </c>
      <c r="C10" s="18">
        <v>0.0</v>
      </c>
      <c r="E10" s="6"/>
      <c r="G10" s="4" t="s">
        <v>24</v>
      </c>
      <c r="I10" s="18">
        <v>0.0</v>
      </c>
      <c r="K10" s="6"/>
      <c r="M10" s="4" t="s">
        <v>24</v>
      </c>
      <c r="O10" s="18">
        <v>0.0</v>
      </c>
      <c r="Q10" s="6"/>
      <c r="S10" s="4" t="s">
        <v>24</v>
      </c>
      <c r="U10" s="18">
        <v>0.0</v>
      </c>
      <c r="W10" s="6"/>
      <c r="Y10" s="4" t="s">
        <v>24</v>
      </c>
      <c r="AA10" s="18">
        <v>0.0</v>
      </c>
      <c r="AC10" s="6"/>
    </row>
    <row r="11">
      <c r="A11" s="7" t="s">
        <v>25</v>
      </c>
      <c r="C11" s="17">
        <v>36.0</v>
      </c>
      <c r="E11" s="9"/>
      <c r="G11" s="7" t="s">
        <v>25</v>
      </c>
      <c r="I11" s="17">
        <v>22.5</v>
      </c>
      <c r="K11" s="9"/>
      <c r="M11" s="7" t="s">
        <v>25</v>
      </c>
      <c r="O11" s="17" t="str">
        <f>'Skyridge Football 10/02/25'!Discountncompsnumber</f>
        <v>#ERROR!</v>
      </c>
      <c r="Q11" s="9"/>
      <c r="S11" s="7" t="s">
        <v>25</v>
      </c>
      <c r="U11" s="17">
        <v>90.5</v>
      </c>
      <c r="W11" s="9"/>
      <c r="Y11" s="7" t="s">
        <v>25</v>
      </c>
      <c r="AA11" s="17">
        <v>12.0</v>
      </c>
      <c r="AC11" s="9"/>
    </row>
    <row r="12">
      <c r="A12" s="4" t="s">
        <v>26</v>
      </c>
      <c r="C12" s="18">
        <f>C9-C10-C11</f>
        <v>1286</v>
      </c>
      <c r="E12" s="6"/>
      <c r="G12" s="4" t="s">
        <v>26</v>
      </c>
      <c r="I12" s="18">
        <f>I9-I10-I11</f>
        <v>924.5</v>
      </c>
      <c r="K12" s="6"/>
      <c r="M12" s="4" t="s">
        <v>26</v>
      </c>
      <c r="O12" s="18" t="str">
        <f>O9-O10-O11</f>
        <v>#ERROR!</v>
      </c>
      <c r="Q12" s="6"/>
      <c r="S12" s="4" t="s">
        <v>26</v>
      </c>
      <c r="U12" s="18">
        <f>U9-U10-U11</f>
        <v>1063.5</v>
      </c>
      <c r="W12" s="6"/>
      <c r="Y12" s="4" t="s">
        <v>26</v>
      </c>
      <c r="AA12" s="18">
        <f>AA9-AA10-AA11</f>
        <v>251</v>
      </c>
      <c r="AC12" s="6"/>
    </row>
    <row r="13">
      <c r="A13" s="19"/>
      <c r="C13" s="20"/>
      <c r="E13" s="9"/>
      <c r="G13" s="19"/>
      <c r="I13" s="20"/>
      <c r="K13" s="9"/>
      <c r="M13" s="19"/>
      <c r="O13" s="20"/>
      <c r="Q13" s="9"/>
      <c r="S13" s="19"/>
      <c r="U13" s="20"/>
      <c r="W13" s="9"/>
      <c r="Y13" s="19"/>
      <c r="AA13" s="20"/>
      <c r="AC13" s="9"/>
    </row>
    <row r="14">
      <c r="A14" s="4" t="s">
        <v>27</v>
      </c>
      <c r="C14" s="18" t="str">
        <f>J19</f>
        <v/>
      </c>
      <c r="E14" s="6"/>
      <c r="G14" s="4" t="s">
        <v>27</v>
      </c>
      <c r="I14" s="18">
        <v>70.9</v>
      </c>
      <c r="K14" s="6"/>
      <c r="M14" s="4" t="s">
        <v>27</v>
      </c>
      <c r="O14" s="18" t="str">
        <f>V19</f>
        <v/>
      </c>
      <c r="Q14" s="6"/>
      <c r="S14" s="4" t="s">
        <v>27</v>
      </c>
      <c r="U14" s="18">
        <v>102.9</v>
      </c>
      <c r="W14" s="6"/>
      <c r="Y14" s="4" t="s">
        <v>27</v>
      </c>
      <c r="AA14" s="18" t="str">
        <f>AH19</f>
        <v/>
      </c>
      <c r="AC14" s="6"/>
    </row>
    <row r="15">
      <c r="A15" s="7" t="s">
        <v>28</v>
      </c>
      <c r="C15" s="17">
        <v>0.0</v>
      </c>
      <c r="E15" s="9"/>
      <c r="G15" s="7" t="s">
        <v>28</v>
      </c>
      <c r="I15" s="17">
        <v>0.0</v>
      </c>
      <c r="K15" s="9"/>
      <c r="M15" s="7" t="s">
        <v>28</v>
      </c>
      <c r="O15" s="17">
        <v>0.0</v>
      </c>
      <c r="Q15" s="9"/>
      <c r="S15" s="7" t="s">
        <v>28</v>
      </c>
      <c r="U15" s="17">
        <v>0.0</v>
      </c>
      <c r="W15" s="9"/>
      <c r="Y15" s="7" t="s">
        <v>28</v>
      </c>
      <c r="AA15" s="17">
        <v>0.0</v>
      </c>
      <c r="AC15" s="9"/>
    </row>
    <row r="16">
      <c r="A16" s="4" t="s">
        <v>29</v>
      </c>
      <c r="C16" s="18">
        <f>C12+C14+C15</f>
        <v>1286</v>
      </c>
      <c r="E16" s="6"/>
      <c r="G16" s="4" t="s">
        <v>29</v>
      </c>
      <c r="I16" s="18">
        <f>I12+I14+I15</f>
        <v>995.4</v>
      </c>
      <c r="K16" s="6"/>
      <c r="M16" s="4" t="s">
        <v>29</v>
      </c>
      <c r="O16" s="18" t="str">
        <f>O12+O14+O15</f>
        <v>#ERROR!</v>
      </c>
      <c r="Q16" s="6"/>
      <c r="S16" s="4" t="s">
        <v>29</v>
      </c>
      <c r="U16" s="18">
        <f>U12+U14+U15</f>
        <v>1166.4</v>
      </c>
      <c r="W16" s="6"/>
      <c r="Y16" s="4" t="s">
        <v>29</v>
      </c>
      <c r="AA16" s="18">
        <f>AA12+AA14+AA15</f>
        <v>251</v>
      </c>
      <c r="AC16" s="6"/>
    </row>
    <row r="17">
      <c r="A17" s="7" t="s">
        <v>30</v>
      </c>
      <c r="C17" s="17">
        <v>173.0</v>
      </c>
      <c r="E17" s="9"/>
      <c r="G17" s="7" t="s">
        <v>30</v>
      </c>
      <c r="I17" s="17">
        <v>106.0</v>
      </c>
      <c r="K17" s="9"/>
      <c r="M17" s="7" t="s">
        <v>30</v>
      </c>
      <c r="O17" s="17">
        <v>115.0</v>
      </c>
      <c r="Q17" s="9"/>
      <c r="S17" s="7" t="s">
        <v>30</v>
      </c>
      <c r="U17" s="17">
        <v>142.0</v>
      </c>
      <c r="W17" s="9"/>
      <c r="Y17" s="7" t="s">
        <v>30</v>
      </c>
      <c r="AA17" s="17">
        <v>16.0</v>
      </c>
      <c r="AC17" s="9"/>
    </row>
    <row r="18">
      <c r="A18" s="4" t="s">
        <v>31</v>
      </c>
      <c r="C18" s="18">
        <v>1171.3</v>
      </c>
      <c r="E18" s="6"/>
      <c r="G18" s="4" t="s">
        <v>31</v>
      </c>
      <c r="I18" s="18">
        <v>875.9</v>
      </c>
      <c r="K18" s="6"/>
      <c r="M18" s="4" t="s">
        <v>31</v>
      </c>
      <c r="O18" s="18">
        <v>1233.95</v>
      </c>
      <c r="Q18" s="6"/>
      <c r="S18" s="4" t="s">
        <v>31</v>
      </c>
      <c r="U18" s="18">
        <v>1018.4</v>
      </c>
      <c r="W18" s="6"/>
      <c r="Y18" s="4" t="s">
        <v>31</v>
      </c>
      <c r="AA18" s="18">
        <v>260.25</v>
      </c>
      <c r="AC18" s="6"/>
    </row>
    <row r="19">
      <c r="A19" s="7" t="s">
        <v>32</v>
      </c>
      <c r="C19" s="17">
        <v>8.0</v>
      </c>
      <c r="E19" s="9"/>
      <c r="G19" s="7" t="s">
        <v>32</v>
      </c>
      <c r="I19" s="17">
        <v>13.5</v>
      </c>
      <c r="K19" s="9"/>
      <c r="M19" s="7" t="s">
        <v>32</v>
      </c>
      <c r="O19" s="17">
        <v>0.0</v>
      </c>
      <c r="Q19" s="9"/>
      <c r="S19" s="7" t="s">
        <v>32</v>
      </c>
      <c r="U19" s="17">
        <v>6.0</v>
      </c>
      <c r="W19" s="9"/>
      <c r="Y19" s="7" t="s">
        <v>32</v>
      </c>
      <c r="AA19" s="17">
        <v>0.0</v>
      </c>
      <c r="AC19" s="9"/>
    </row>
    <row r="20">
      <c r="A20" s="4" t="s">
        <v>33</v>
      </c>
      <c r="C20" s="18">
        <v>0.0</v>
      </c>
      <c r="E20" s="6"/>
      <c r="G20" s="4" t="s">
        <v>33</v>
      </c>
      <c r="I20" s="18">
        <v>0.0</v>
      </c>
      <c r="K20" s="6"/>
      <c r="M20" s="4" t="s">
        <v>33</v>
      </c>
      <c r="O20" s="18">
        <v>0.0</v>
      </c>
      <c r="Q20" s="6"/>
      <c r="S20" s="4" t="s">
        <v>33</v>
      </c>
      <c r="U20" s="18">
        <v>0.0</v>
      </c>
      <c r="W20" s="6"/>
      <c r="Y20" s="4" t="s">
        <v>33</v>
      </c>
      <c r="AA20" s="18">
        <v>0.0</v>
      </c>
      <c r="AC20" s="6"/>
    </row>
    <row r="21">
      <c r="A21" s="7" t="s">
        <v>34</v>
      </c>
      <c r="C21" s="17">
        <v>0.0</v>
      </c>
      <c r="E21" s="9"/>
      <c r="G21" s="7" t="s">
        <v>34</v>
      </c>
      <c r="I21" s="17">
        <v>0.0</v>
      </c>
      <c r="K21" s="9"/>
      <c r="M21" s="7" t="s">
        <v>34</v>
      </c>
      <c r="O21" s="17">
        <v>0.0</v>
      </c>
      <c r="Q21" s="9"/>
      <c r="S21" s="7" t="s">
        <v>34</v>
      </c>
      <c r="U21" s="17">
        <v>0.0</v>
      </c>
      <c r="W21" s="9"/>
      <c r="Y21" s="7" t="s">
        <v>34</v>
      </c>
      <c r="AA21" s="17">
        <v>0.0</v>
      </c>
      <c r="AC21" s="9"/>
    </row>
    <row r="22">
      <c r="A22" s="4" t="s">
        <v>35</v>
      </c>
      <c r="C22" s="18">
        <v>0.0</v>
      </c>
      <c r="E22" s="6"/>
      <c r="G22" s="4" t="s">
        <v>35</v>
      </c>
      <c r="I22" s="18">
        <v>0.0</v>
      </c>
      <c r="K22" s="6"/>
      <c r="M22" s="4" t="s">
        <v>35</v>
      </c>
      <c r="O22" s="18">
        <v>0.0</v>
      </c>
      <c r="Q22" s="6"/>
      <c r="S22" s="4" t="s">
        <v>35</v>
      </c>
      <c r="U22" s="18">
        <v>0.0</v>
      </c>
      <c r="W22" s="6"/>
      <c r="Y22" s="4" t="s">
        <v>35</v>
      </c>
      <c r="AA22" s="18">
        <v>0.0</v>
      </c>
      <c r="AC22" s="6"/>
    </row>
    <row r="23">
      <c r="A23" s="7" t="s">
        <v>36</v>
      </c>
      <c r="C23" s="17">
        <f>SUM(C17:C21)</f>
        <v>1352.3</v>
      </c>
      <c r="E23" s="9"/>
      <c r="G23" s="7" t="s">
        <v>36</v>
      </c>
      <c r="I23" s="17">
        <f>SUM(I17:I21)</f>
        <v>995.4</v>
      </c>
      <c r="K23" s="9"/>
      <c r="M23" s="7" t="s">
        <v>36</v>
      </c>
      <c r="O23" s="17">
        <f>SUM(O17:O21)</f>
        <v>1348.95</v>
      </c>
      <c r="Q23" s="9"/>
      <c r="S23" s="7" t="s">
        <v>36</v>
      </c>
      <c r="U23" s="17">
        <f>SUM(U17:U21)</f>
        <v>1166.4</v>
      </c>
      <c r="W23" s="9"/>
      <c r="Y23" s="7" t="s">
        <v>36</v>
      </c>
      <c r="AA23" s="17">
        <f>SUM(AA17:AA21)</f>
        <v>276.25</v>
      </c>
      <c r="AC23" s="9"/>
    </row>
    <row r="24">
      <c r="A24" s="21"/>
      <c r="C24" s="22"/>
      <c r="E24" s="6"/>
      <c r="G24" s="21"/>
      <c r="I24" s="22"/>
      <c r="K24" s="6"/>
      <c r="M24" s="21"/>
      <c r="O24" s="22"/>
      <c r="Q24" s="6"/>
      <c r="S24" s="21"/>
      <c r="U24" s="22"/>
      <c r="W24" s="6"/>
      <c r="Y24" s="21"/>
      <c r="AA24" s="22"/>
      <c r="AC24" s="6"/>
    </row>
    <row r="25">
      <c r="A25" s="7" t="s">
        <v>37</v>
      </c>
      <c r="C25" s="23">
        <v>108.67</v>
      </c>
      <c r="E25" s="9"/>
      <c r="G25" s="7" t="s">
        <v>37</v>
      </c>
      <c r="I25" s="24"/>
      <c r="K25" s="9"/>
      <c r="M25" s="7" t="s">
        <v>37</v>
      </c>
      <c r="O25" s="24"/>
      <c r="Q25" s="9"/>
      <c r="S25" s="7" t="s">
        <v>37</v>
      </c>
      <c r="U25" s="24"/>
      <c r="W25" s="9"/>
      <c r="Y25" s="7" t="s">
        <v>37</v>
      </c>
      <c r="AA25" s="24"/>
      <c r="AC25" s="9"/>
    </row>
    <row r="26">
      <c r="A26" s="4" t="s">
        <v>38</v>
      </c>
      <c r="C26" s="18">
        <f>C23-C25</f>
        <v>1243.63</v>
      </c>
      <c r="E26" s="6"/>
      <c r="G26" s="4" t="s">
        <v>38</v>
      </c>
      <c r="I26" s="18">
        <f>I23-I25</f>
        <v>995.4</v>
      </c>
      <c r="K26" s="6"/>
      <c r="M26" s="4" t="s">
        <v>38</v>
      </c>
      <c r="O26" s="18">
        <f>O23-O25</f>
        <v>1348.95</v>
      </c>
      <c r="Q26" s="6"/>
      <c r="S26" s="4" t="s">
        <v>38</v>
      </c>
      <c r="U26" s="18">
        <f>U23-U25</f>
        <v>1166.4</v>
      </c>
      <c r="W26" s="6"/>
      <c r="Y26" s="4" t="s">
        <v>38</v>
      </c>
      <c r="AA26" s="18">
        <f>AA23-AA25</f>
        <v>276.25</v>
      </c>
      <c r="AC26" s="6"/>
    </row>
    <row r="27">
      <c r="A27" s="7" t="s">
        <v>39</v>
      </c>
      <c r="C27" s="17">
        <v>42.45</v>
      </c>
      <c r="E27" s="9"/>
      <c r="G27" s="7" t="s">
        <v>39</v>
      </c>
      <c r="I27" s="17">
        <v>31.68</v>
      </c>
      <c r="K27" s="9"/>
      <c r="M27" s="7" t="s">
        <v>39</v>
      </c>
      <c r="O27" s="17">
        <v>42.96</v>
      </c>
      <c r="Q27" s="9"/>
      <c r="S27" s="7" t="s">
        <v>39</v>
      </c>
      <c r="U27" s="17">
        <v>36.28</v>
      </c>
      <c r="W27" s="9"/>
      <c r="Y27" s="7" t="s">
        <v>39</v>
      </c>
      <c r="AA27" s="17">
        <v>8.97</v>
      </c>
      <c r="AC27" s="9"/>
    </row>
    <row r="28">
      <c r="A28" s="4" t="s">
        <v>38</v>
      </c>
      <c r="C28" s="18">
        <f>(C26-C27)</f>
        <v>1201.18</v>
      </c>
      <c r="E28" s="6"/>
      <c r="G28" s="4" t="s">
        <v>38</v>
      </c>
      <c r="I28" s="18">
        <f>(I26-I27)</f>
        <v>963.72</v>
      </c>
      <c r="K28" s="6"/>
      <c r="M28" s="4" t="s">
        <v>38</v>
      </c>
      <c r="O28" s="18">
        <f>(O26-O27)</f>
        <v>1305.99</v>
      </c>
      <c r="Q28" s="6"/>
      <c r="S28" s="4" t="s">
        <v>38</v>
      </c>
      <c r="U28" s="18">
        <f>(U26-U27)</f>
        <v>1130.12</v>
      </c>
      <c r="W28" s="6"/>
      <c r="Y28" s="4" t="s">
        <v>38</v>
      </c>
      <c r="AA28" s="18">
        <f>(AA26-AA27)</f>
        <v>267.28</v>
      </c>
      <c r="AC28" s="6"/>
    </row>
    <row r="29">
      <c r="A29" s="25"/>
      <c r="C29" s="26"/>
      <c r="E29" s="9"/>
      <c r="G29" s="25"/>
      <c r="I29" s="26"/>
      <c r="K29" s="9"/>
      <c r="M29" s="25"/>
      <c r="O29" s="26"/>
      <c r="Q29" s="9"/>
      <c r="S29" s="25"/>
      <c r="U29" s="26"/>
      <c r="W29" s="9"/>
      <c r="Y29" s="25"/>
      <c r="AA29" s="26"/>
      <c r="AC29" s="9"/>
    </row>
    <row r="30">
      <c r="A30" s="4" t="s">
        <v>40</v>
      </c>
      <c r="C30" s="18">
        <f>C28</f>
        <v>1201.18</v>
      </c>
      <c r="E30" s="6"/>
      <c r="G30" s="4" t="s">
        <v>40</v>
      </c>
      <c r="I30" s="18">
        <f>I28</f>
        <v>963.72</v>
      </c>
      <c r="K30" s="6"/>
      <c r="M30" s="4" t="s">
        <v>40</v>
      </c>
      <c r="O30" s="18">
        <f>O28</f>
        <v>1305.99</v>
      </c>
      <c r="Q30" s="6"/>
      <c r="S30" s="4" t="s">
        <v>40</v>
      </c>
      <c r="U30" s="18">
        <f>U28</f>
        <v>1130.12</v>
      </c>
      <c r="W30" s="6"/>
      <c r="Y30" s="4" t="s">
        <v>40</v>
      </c>
      <c r="AA30" s="18">
        <f>AA28</f>
        <v>267.28</v>
      </c>
      <c r="AC30" s="6"/>
    </row>
    <row r="31">
      <c r="A31" s="7" t="s">
        <v>41</v>
      </c>
      <c r="C31" s="17">
        <v>0.0</v>
      </c>
      <c r="E31" s="9"/>
      <c r="G31" s="7" t="s">
        <v>41</v>
      </c>
      <c r="I31" s="17">
        <v>125.0</v>
      </c>
      <c r="K31" s="9"/>
      <c r="M31" s="7" t="s">
        <v>41</v>
      </c>
      <c r="O31" s="17">
        <v>0.0</v>
      </c>
      <c r="Q31" s="9"/>
      <c r="S31" s="7" t="s">
        <v>41</v>
      </c>
      <c r="U31" s="17">
        <v>50.0</v>
      </c>
      <c r="W31" s="9"/>
      <c r="Y31" s="7" t="s">
        <v>41</v>
      </c>
      <c r="AA31" s="17">
        <v>0.0</v>
      </c>
      <c r="AC31" s="9"/>
    </row>
    <row r="32">
      <c r="A32" s="4" t="s">
        <v>42</v>
      </c>
      <c r="C32" s="18">
        <v>250.0</v>
      </c>
      <c r="E32" s="6"/>
      <c r="G32" s="4" t="s">
        <v>42</v>
      </c>
      <c r="I32" s="18">
        <v>250.0</v>
      </c>
      <c r="K32" s="6"/>
      <c r="M32" s="4" t="s">
        <v>42</v>
      </c>
      <c r="O32" s="18">
        <v>127.2</v>
      </c>
      <c r="Q32" s="6"/>
      <c r="S32" s="4" t="s">
        <v>42</v>
      </c>
      <c r="U32" s="18">
        <v>160.0</v>
      </c>
      <c r="W32" s="6"/>
      <c r="Y32" s="4" t="s">
        <v>42</v>
      </c>
      <c r="AA32" s="18">
        <v>150.0</v>
      </c>
      <c r="AC32" s="6"/>
    </row>
    <row r="33">
      <c r="A33" s="7" t="s">
        <v>43</v>
      </c>
      <c r="C33" s="17" t="str">
        <f>#REF!</f>
        <v>#REF!</v>
      </c>
      <c r="E33" s="9"/>
      <c r="G33" s="7" t="s">
        <v>43</v>
      </c>
      <c r="I33" s="17" t="str">
        <f>E170</f>
        <v/>
      </c>
      <c r="K33" s="9"/>
      <c r="M33" s="7" t="s">
        <v>44</v>
      </c>
      <c r="O33" s="17" t="str">
        <f>K170</f>
        <v/>
      </c>
      <c r="Q33" s="9"/>
      <c r="S33" s="7" t="s">
        <v>43</v>
      </c>
      <c r="U33" s="17" t="str">
        <f>Q170</f>
        <v/>
      </c>
      <c r="W33" s="9"/>
      <c r="Y33" s="7" t="s">
        <v>43</v>
      </c>
      <c r="AA33" s="17" t="str">
        <f>W170</f>
        <v/>
      </c>
      <c r="AC33" s="9"/>
    </row>
    <row r="34">
      <c r="A34" s="4" t="s">
        <v>45</v>
      </c>
      <c r="C34" s="18">
        <f>O9</f>
        <v>1346</v>
      </c>
      <c r="E34" s="6"/>
      <c r="G34" s="4" t="s">
        <v>45</v>
      </c>
      <c r="I34" s="18">
        <f>U9</f>
        <v>1154</v>
      </c>
      <c r="K34" s="6"/>
      <c r="M34" s="4" t="s">
        <v>45</v>
      </c>
      <c r="O34" s="18" t="str">
        <f>AD9</f>
        <v/>
      </c>
      <c r="Q34" s="6"/>
      <c r="S34" s="4" t="s">
        <v>45</v>
      </c>
      <c r="U34" s="18" t="str">
        <f>AJ9</f>
        <v/>
      </c>
      <c r="W34" s="6"/>
      <c r="Y34" s="4" t="s">
        <v>45</v>
      </c>
      <c r="AA34" s="18" t="str">
        <f>AM9</f>
        <v/>
      </c>
      <c r="AC34" s="6"/>
    </row>
    <row r="35">
      <c r="A35" s="7" t="s">
        <v>46</v>
      </c>
      <c r="C35" s="17">
        <v>0.0</v>
      </c>
      <c r="E35" s="9"/>
      <c r="G35" s="7" t="s">
        <v>46</v>
      </c>
      <c r="I35" s="17">
        <v>0.0</v>
      </c>
      <c r="K35" s="9"/>
      <c r="M35" s="7" t="s">
        <v>46</v>
      </c>
      <c r="O35" s="17">
        <v>0.0</v>
      </c>
      <c r="Q35" s="9"/>
      <c r="S35" s="7" t="s">
        <v>46</v>
      </c>
      <c r="U35" s="17">
        <v>0.0</v>
      </c>
      <c r="W35" s="9"/>
      <c r="Y35" s="7" t="s">
        <v>46</v>
      </c>
      <c r="AA35" s="17">
        <v>0.0</v>
      </c>
      <c r="AC35" s="9"/>
    </row>
    <row r="36">
      <c r="A36" s="4" t="s">
        <v>47</v>
      </c>
      <c r="C36" s="18" t="str">
        <f>K9</f>
        <v/>
      </c>
      <c r="E36" s="6"/>
      <c r="G36" s="4" t="s">
        <v>47</v>
      </c>
      <c r="I36" s="18" t="str">
        <f>Q9</f>
        <v/>
      </c>
      <c r="K36" s="6"/>
      <c r="M36" s="4" t="s">
        <v>47</v>
      </c>
      <c r="O36" s="18" t="str">
        <f>W9</f>
        <v/>
      </c>
      <c r="Q36" s="6"/>
      <c r="S36" s="4" t="s">
        <v>47</v>
      </c>
      <c r="U36" s="18" t="str">
        <f>AF9</f>
        <v/>
      </c>
      <c r="W36" s="6"/>
      <c r="Y36" s="4" t="s">
        <v>47</v>
      </c>
      <c r="AA36" s="18" t="str">
        <f>AI9</f>
        <v/>
      </c>
      <c r="AC36" s="6"/>
    </row>
    <row r="37">
      <c r="A37" s="7" t="s">
        <v>48</v>
      </c>
      <c r="C37" s="17" t="str">
        <f>K29</f>
        <v/>
      </c>
      <c r="E37" s="9"/>
      <c r="G37" s="7" t="s">
        <v>48</v>
      </c>
      <c r="I37" s="17" t="str">
        <f>Q29</f>
        <v/>
      </c>
      <c r="K37" s="9"/>
      <c r="M37" s="7" t="s">
        <v>48</v>
      </c>
      <c r="O37" s="17" t="str">
        <f>W29</f>
        <v/>
      </c>
      <c r="Q37" s="9"/>
      <c r="S37" s="7" t="s">
        <v>48</v>
      </c>
      <c r="U37" s="17" t="str">
        <f>AF29</f>
        <v/>
      </c>
      <c r="W37" s="9"/>
      <c r="Y37" s="7" t="s">
        <v>48</v>
      </c>
      <c r="AA37" s="17" t="str">
        <f>AI29</f>
        <v/>
      </c>
      <c r="AC37" s="9"/>
    </row>
    <row r="38">
      <c r="A38" s="4" t="s">
        <v>49</v>
      </c>
      <c r="C38" s="18">
        <f>O20</f>
        <v>0</v>
      </c>
      <c r="E38" s="6"/>
      <c r="G38" s="4" t="s">
        <v>49</v>
      </c>
      <c r="I38" s="18">
        <f>U20</f>
        <v>0</v>
      </c>
      <c r="K38" s="6"/>
      <c r="M38" s="4" t="s">
        <v>49</v>
      </c>
      <c r="O38" s="18" t="str">
        <f>AD20</f>
        <v/>
      </c>
      <c r="Q38" s="6"/>
      <c r="S38" s="4" t="s">
        <v>49</v>
      </c>
      <c r="U38" s="18" t="str">
        <f>AJ20</f>
        <v/>
      </c>
      <c r="W38" s="6"/>
      <c r="Y38" s="4" t="s">
        <v>49</v>
      </c>
      <c r="AA38" s="18" t="str">
        <f>AM20</f>
        <v/>
      </c>
      <c r="AC38" s="6"/>
    </row>
    <row r="39">
      <c r="A39" s="7" t="s">
        <v>50</v>
      </c>
      <c r="C39" s="17" t="str">
        <f>SUM(C31:C38)</f>
        <v>#REF!</v>
      </c>
      <c r="E39" s="9"/>
      <c r="G39" s="7" t="s">
        <v>50</v>
      </c>
      <c r="I39" s="17">
        <f>SUM(I31:I38)</f>
        <v>1529</v>
      </c>
      <c r="K39" s="9"/>
      <c r="M39" s="7" t="s">
        <v>50</v>
      </c>
      <c r="O39" s="17">
        <f>SUM(O31:O38)</f>
        <v>127.2</v>
      </c>
      <c r="Q39" s="9"/>
      <c r="S39" s="7" t="s">
        <v>50</v>
      </c>
      <c r="U39" s="17">
        <f>SUM(U31:U38)</f>
        <v>210</v>
      </c>
      <c r="W39" s="9"/>
      <c r="Y39" s="7" t="s">
        <v>50</v>
      </c>
      <c r="AA39" s="17">
        <f>SUM(AA31:AA38)</f>
        <v>150</v>
      </c>
      <c r="AC39" s="9"/>
    </row>
    <row r="40">
      <c r="A40" s="16"/>
      <c r="C40" s="27"/>
      <c r="E40" s="6"/>
      <c r="G40" s="16"/>
      <c r="I40" s="27"/>
      <c r="K40" s="6"/>
      <c r="M40" s="16"/>
      <c r="O40" s="27"/>
      <c r="Q40" s="6"/>
      <c r="S40" s="16"/>
      <c r="U40" s="27"/>
      <c r="W40" s="6"/>
      <c r="Y40" s="16"/>
      <c r="AA40" s="27"/>
      <c r="AC40" s="6"/>
    </row>
    <row r="41">
      <c r="A41" s="7" t="s">
        <v>40</v>
      </c>
      <c r="C41" s="17">
        <f>C30</f>
        <v>1201.18</v>
      </c>
      <c r="E41" s="9"/>
      <c r="G41" s="7" t="s">
        <v>40</v>
      </c>
      <c r="I41" s="17">
        <f>I30</f>
        <v>963.72</v>
      </c>
      <c r="K41" s="9"/>
      <c r="M41" s="7" t="s">
        <v>40</v>
      </c>
      <c r="O41" s="17">
        <f>O30</f>
        <v>1305.99</v>
      </c>
      <c r="Q41" s="9"/>
      <c r="S41" s="7" t="s">
        <v>40</v>
      </c>
      <c r="U41" s="17">
        <f>U30</f>
        <v>1130.12</v>
      </c>
      <c r="W41" s="9"/>
      <c r="Y41" s="7" t="s">
        <v>40</v>
      </c>
      <c r="AA41" s="17">
        <f>AA30</f>
        <v>267.28</v>
      </c>
      <c r="AC41" s="9"/>
    </row>
    <row r="42">
      <c r="A42" s="4" t="s">
        <v>50</v>
      </c>
      <c r="C42" s="18" t="str">
        <f>C39</f>
        <v>#REF!</v>
      </c>
      <c r="E42" s="6"/>
      <c r="G42" s="4" t="s">
        <v>50</v>
      </c>
      <c r="I42" s="18">
        <f>I39</f>
        <v>1529</v>
      </c>
      <c r="K42" s="6"/>
      <c r="M42" s="4" t="s">
        <v>50</v>
      </c>
      <c r="O42" s="18">
        <f>O39</f>
        <v>127.2</v>
      </c>
      <c r="Q42" s="6"/>
      <c r="S42" s="4" t="s">
        <v>50</v>
      </c>
      <c r="U42" s="18">
        <f>U39</f>
        <v>210</v>
      </c>
      <c r="W42" s="6"/>
      <c r="Y42" s="4" t="s">
        <v>50</v>
      </c>
      <c r="AA42" s="18">
        <f>AA39</f>
        <v>150</v>
      </c>
      <c r="AC42" s="6"/>
    </row>
    <row r="43">
      <c r="A43" s="7" t="s">
        <v>51</v>
      </c>
      <c r="C43" s="17" t="str">
        <f>C41-C42</f>
        <v>#REF!</v>
      </c>
      <c r="E43" s="9"/>
      <c r="G43" s="7" t="s">
        <v>51</v>
      </c>
      <c r="I43" s="17">
        <f>I41-I42</f>
        <v>-565.28</v>
      </c>
      <c r="K43" s="9"/>
      <c r="M43" s="7" t="s">
        <v>51</v>
      </c>
      <c r="O43" s="17">
        <f>O41-O42</f>
        <v>1178.79</v>
      </c>
      <c r="Q43" s="9"/>
      <c r="S43" s="7" t="s">
        <v>51</v>
      </c>
      <c r="U43" s="17">
        <f>U41-U42</f>
        <v>920.12</v>
      </c>
      <c r="W43" s="9"/>
      <c r="Y43" s="7" t="s">
        <v>51</v>
      </c>
      <c r="AA43" s="17">
        <f>AA41-AA42</f>
        <v>117.28</v>
      </c>
      <c r="AC43" s="9"/>
    </row>
    <row r="44">
      <c r="A44" s="4" t="s">
        <v>52</v>
      </c>
      <c r="C44" s="18" t="str">
        <f>C43*0.1</f>
        <v>#REF!</v>
      </c>
      <c r="E44" s="6"/>
      <c r="G44" s="4" t="s">
        <v>52</v>
      </c>
      <c r="I44" s="18">
        <f>I43*0.1</f>
        <v>-56.528</v>
      </c>
      <c r="K44" s="6"/>
      <c r="M44" s="4" t="s">
        <v>52</v>
      </c>
      <c r="O44" s="28"/>
      <c r="Q44" s="6"/>
      <c r="S44" s="4" t="s">
        <v>52</v>
      </c>
      <c r="U44" s="28"/>
      <c r="W44" s="6"/>
      <c r="Y44" s="4" t="s">
        <v>52</v>
      </c>
      <c r="AA44" s="18">
        <f>AA43*0.1</f>
        <v>11.728</v>
      </c>
      <c r="AC44" s="6"/>
    </row>
    <row r="45">
      <c r="A45" s="19"/>
      <c r="C45" s="20"/>
      <c r="E45" s="9"/>
      <c r="G45" s="19"/>
      <c r="I45" s="20"/>
      <c r="K45" s="9"/>
      <c r="M45" s="19"/>
      <c r="O45" s="20"/>
      <c r="Q45" s="9"/>
      <c r="S45" s="19"/>
      <c r="U45" s="20"/>
      <c r="W45" s="9"/>
      <c r="Y45" s="19"/>
      <c r="AA45" s="20"/>
      <c r="AC45" s="9"/>
    </row>
    <row r="46">
      <c r="A46" s="4" t="s">
        <v>53</v>
      </c>
      <c r="C46" s="18" t="str">
        <f>C43-C44</f>
        <v>#REF!</v>
      </c>
      <c r="E46" s="6"/>
      <c r="G46" s="4" t="s">
        <v>53</v>
      </c>
      <c r="I46" s="18">
        <f>I43-I44</f>
        <v>-508.752</v>
      </c>
      <c r="K46" s="6"/>
      <c r="M46" s="4" t="s">
        <v>53</v>
      </c>
      <c r="O46" s="18">
        <f>O43-O44</f>
        <v>1178.79</v>
      </c>
      <c r="Q46" s="6"/>
      <c r="S46" s="4" t="s">
        <v>53</v>
      </c>
      <c r="U46" s="18">
        <f>U43-U44</f>
        <v>920.12</v>
      </c>
      <c r="W46" s="6"/>
      <c r="Y46" s="4" t="s">
        <v>53</v>
      </c>
      <c r="AA46" s="18">
        <f>AA43-AA44</f>
        <v>105.552</v>
      </c>
      <c r="AC46" s="6"/>
    </row>
    <row r="47">
      <c r="A47" s="7" t="s">
        <v>54</v>
      </c>
      <c r="C47" s="17" t="str">
        <f>(C46)*0.03</f>
        <v>#REF!</v>
      </c>
      <c r="E47" s="9"/>
      <c r="G47" s="7" t="s">
        <v>54</v>
      </c>
      <c r="I47" s="17">
        <f>(I46)*0.03</f>
        <v>-15.26256</v>
      </c>
      <c r="K47" s="9"/>
      <c r="M47" s="7" t="s">
        <v>54</v>
      </c>
      <c r="O47" s="17">
        <f>(O46)*0.03</f>
        <v>35.3637</v>
      </c>
      <c r="Q47" s="9"/>
      <c r="S47" s="7" t="s">
        <v>54</v>
      </c>
      <c r="U47" s="17">
        <f>(U46)*0.03</f>
        <v>27.6036</v>
      </c>
      <c r="W47" s="9"/>
      <c r="Y47" s="7" t="s">
        <v>54</v>
      </c>
      <c r="AA47" s="17">
        <f>(AA46)*0.03</f>
        <v>3.16656</v>
      </c>
      <c r="AC47" s="9"/>
    </row>
    <row r="48">
      <c r="A48" s="4" t="s">
        <v>55</v>
      </c>
      <c r="C48" s="18" t="str">
        <f>(C46)*0.2</f>
        <v>#REF!</v>
      </c>
      <c r="E48" s="6"/>
      <c r="G48" s="4" t="s">
        <v>55</v>
      </c>
      <c r="I48" s="18">
        <f>(I46)*0.2</f>
        <v>-101.7504</v>
      </c>
      <c r="K48" s="6"/>
      <c r="M48" s="4" t="s">
        <v>55</v>
      </c>
      <c r="O48" s="18">
        <f>(O46)*0.2</f>
        <v>235.758</v>
      </c>
      <c r="Q48" s="6"/>
      <c r="S48" s="4" t="s">
        <v>55</v>
      </c>
      <c r="U48" s="18">
        <f>(U46)*0.2</f>
        <v>184.024</v>
      </c>
      <c r="W48" s="6"/>
      <c r="Y48" s="4" t="s">
        <v>55</v>
      </c>
      <c r="AA48" s="18">
        <f>(AA46)*0.2</f>
        <v>21.1104</v>
      </c>
      <c r="AC48" s="6"/>
    </row>
    <row r="49">
      <c r="A49" s="29" t="s">
        <v>56</v>
      </c>
      <c r="B49" s="30"/>
      <c r="C49" s="31" t="str">
        <f>C46-C47-C48</f>
        <v>#REF!</v>
      </c>
      <c r="D49" s="30"/>
      <c r="E49" s="32"/>
      <c r="G49" s="29" t="s">
        <v>56</v>
      </c>
      <c r="H49" s="30"/>
      <c r="I49" s="31">
        <f>I46-I47-I48</f>
        <v>-391.73904</v>
      </c>
      <c r="J49" s="30"/>
      <c r="K49" s="32"/>
      <c r="M49" s="29" t="s">
        <v>56</v>
      </c>
      <c r="N49" s="30"/>
      <c r="O49" s="31">
        <f>O46-O47-O48</f>
        <v>907.6683</v>
      </c>
      <c r="P49" s="30"/>
      <c r="Q49" s="32"/>
      <c r="S49" s="29" t="s">
        <v>56</v>
      </c>
      <c r="T49" s="30"/>
      <c r="U49" s="31">
        <f>U46-U47-U48</f>
        <v>708.4924</v>
      </c>
      <c r="V49" s="30"/>
      <c r="W49" s="32"/>
      <c r="Y49" s="29" t="s">
        <v>56</v>
      </c>
      <c r="Z49" s="30"/>
      <c r="AA49" s="31">
        <f>AA46-AA47-AA48</f>
        <v>81.27504</v>
      </c>
      <c r="AB49" s="30"/>
      <c r="AC49" s="32"/>
    </row>
  </sheetData>
  <mergeCells count="480">
    <mergeCell ref="A26:B26"/>
    <mergeCell ref="A27:B27"/>
    <mergeCell ref="A28:B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C34:E34"/>
    <mergeCell ref="A34:B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C41:E41"/>
    <mergeCell ref="A41:B41"/>
    <mergeCell ref="A42:B42"/>
    <mergeCell ref="C42:E42"/>
    <mergeCell ref="A43:B43"/>
    <mergeCell ref="C43:E43"/>
    <mergeCell ref="A44:B44"/>
    <mergeCell ref="C44:E44"/>
    <mergeCell ref="A45:B45"/>
    <mergeCell ref="C45:E45"/>
    <mergeCell ref="A46:B46"/>
    <mergeCell ref="C46:E46"/>
    <mergeCell ref="A47:B47"/>
    <mergeCell ref="C47:E47"/>
    <mergeCell ref="C48:E48"/>
    <mergeCell ref="I20:K20"/>
    <mergeCell ref="I21:K21"/>
    <mergeCell ref="I13:K13"/>
    <mergeCell ref="I14:K14"/>
    <mergeCell ref="I15:K15"/>
    <mergeCell ref="I16:K16"/>
    <mergeCell ref="I17:K17"/>
    <mergeCell ref="I18:K18"/>
    <mergeCell ref="I19:K19"/>
    <mergeCell ref="G19:H19"/>
    <mergeCell ref="G20:H20"/>
    <mergeCell ref="G21:H21"/>
    <mergeCell ref="G22:H22"/>
    <mergeCell ref="I22:K22"/>
    <mergeCell ref="G23:H23"/>
    <mergeCell ref="I23:K23"/>
    <mergeCell ref="G24:H24"/>
    <mergeCell ref="I24:K24"/>
    <mergeCell ref="G25:H25"/>
    <mergeCell ref="I25:K25"/>
    <mergeCell ref="G26:H26"/>
    <mergeCell ref="I26:K26"/>
    <mergeCell ref="I27:K27"/>
    <mergeCell ref="G27:H27"/>
    <mergeCell ref="G28:H28"/>
    <mergeCell ref="I28:K28"/>
    <mergeCell ref="G29:H29"/>
    <mergeCell ref="I29:K29"/>
    <mergeCell ref="G30:H30"/>
    <mergeCell ref="I30:K30"/>
    <mergeCell ref="G31:H31"/>
    <mergeCell ref="I31:K31"/>
    <mergeCell ref="G32:H32"/>
    <mergeCell ref="I32:K32"/>
    <mergeCell ref="G33:H33"/>
    <mergeCell ref="I33:K33"/>
    <mergeCell ref="I34:K34"/>
    <mergeCell ref="G34:H34"/>
    <mergeCell ref="G35:H35"/>
    <mergeCell ref="I35:K35"/>
    <mergeCell ref="G36:H36"/>
    <mergeCell ref="I36:K36"/>
    <mergeCell ref="G37:H37"/>
    <mergeCell ref="I37:K37"/>
    <mergeCell ref="G38:H38"/>
    <mergeCell ref="I38:K38"/>
    <mergeCell ref="G39:H39"/>
    <mergeCell ref="I39:K39"/>
    <mergeCell ref="G40:H40"/>
    <mergeCell ref="I40:K40"/>
    <mergeCell ref="I41:K41"/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E8"/>
    <mergeCell ref="A9:B9"/>
    <mergeCell ref="C9:E9"/>
    <mergeCell ref="A10:B10"/>
    <mergeCell ref="C10:E10"/>
    <mergeCell ref="A11:B11"/>
    <mergeCell ref="C11:E11"/>
    <mergeCell ref="C12:E12"/>
    <mergeCell ref="A12:B12"/>
    <mergeCell ref="A13:B13"/>
    <mergeCell ref="A14:B14"/>
    <mergeCell ref="A15:B15"/>
    <mergeCell ref="A16:B16"/>
    <mergeCell ref="A17:B17"/>
    <mergeCell ref="A18:B18"/>
    <mergeCell ref="C13:E13"/>
    <mergeCell ref="C14:E14"/>
    <mergeCell ref="C15:E15"/>
    <mergeCell ref="C16:E16"/>
    <mergeCell ref="C17:E17"/>
    <mergeCell ref="C18:E18"/>
    <mergeCell ref="C19:E19"/>
    <mergeCell ref="A19:B19"/>
    <mergeCell ref="A20:B20"/>
    <mergeCell ref="A21:B21"/>
    <mergeCell ref="A22:B22"/>
    <mergeCell ref="A23:B23"/>
    <mergeCell ref="A24:B24"/>
    <mergeCell ref="A25:B25"/>
    <mergeCell ref="A48:B48"/>
    <mergeCell ref="A49:B49"/>
    <mergeCell ref="C49:E49"/>
    <mergeCell ref="G41:H41"/>
    <mergeCell ref="G42:H42"/>
    <mergeCell ref="I42:K42"/>
    <mergeCell ref="G43:H43"/>
    <mergeCell ref="I43:K43"/>
    <mergeCell ref="G44:H44"/>
    <mergeCell ref="I44:K44"/>
    <mergeCell ref="G45:H45"/>
    <mergeCell ref="I45:K45"/>
    <mergeCell ref="G46:H46"/>
    <mergeCell ref="I46:K46"/>
    <mergeCell ref="G47:H47"/>
    <mergeCell ref="I47:K47"/>
    <mergeCell ref="I48:K48"/>
    <mergeCell ref="M13:N13"/>
    <mergeCell ref="M14:N14"/>
    <mergeCell ref="M5:N5"/>
    <mergeCell ref="M6:N6"/>
    <mergeCell ref="M7:N7"/>
    <mergeCell ref="M9:N9"/>
    <mergeCell ref="M10:N10"/>
    <mergeCell ref="M11:N11"/>
    <mergeCell ref="M12:N12"/>
    <mergeCell ref="M22:N22"/>
    <mergeCell ref="M23:N23"/>
    <mergeCell ref="M15:N15"/>
    <mergeCell ref="M16:N16"/>
    <mergeCell ref="M17:N17"/>
    <mergeCell ref="M18:N18"/>
    <mergeCell ref="M19:N19"/>
    <mergeCell ref="M20:N20"/>
    <mergeCell ref="M21:N21"/>
    <mergeCell ref="M36:N36"/>
    <mergeCell ref="M37:N37"/>
    <mergeCell ref="M29:N29"/>
    <mergeCell ref="M30:N30"/>
    <mergeCell ref="M31:N31"/>
    <mergeCell ref="M32:N32"/>
    <mergeCell ref="M33:N33"/>
    <mergeCell ref="M34:N34"/>
    <mergeCell ref="M35:N35"/>
    <mergeCell ref="O32:Q32"/>
    <mergeCell ref="O33:Q33"/>
    <mergeCell ref="O34:Q34"/>
    <mergeCell ref="O35:Q35"/>
    <mergeCell ref="O36:Q36"/>
    <mergeCell ref="O37:Q37"/>
    <mergeCell ref="O38:Q38"/>
    <mergeCell ref="O46:Q46"/>
    <mergeCell ref="O47:Q47"/>
    <mergeCell ref="O48:Q48"/>
    <mergeCell ref="O49:Q49"/>
    <mergeCell ref="O39:Q39"/>
    <mergeCell ref="O40:Q40"/>
    <mergeCell ref="O41:Q41"/>
    <mergeCell ref="O42:Q42"/>
    <mergeCell ref="O43:Q43"/>
    <mergeCell ref="O44:Q44"/>
    <mergeCell ref="O45:Q45"/>
    <mergeCell ref="M44:N44"/>
    <mergeCell ref="M45:N45"/>
    <mergeCell ref="M46:N46"/>
    <mergeCell ref="M47:N47"/>
    <mergeCell ref="M48:N48"/>
    <mergeCell ref="M49:N49"/>
    <mergeCell ref="G48:H48"/>
    <mergeCell ref="G49:H49"/>
    <mergeCell ref="I49:K49"/>
    <mergeCell ref="M38:N38"/>
    <mergeCell ref="M39:N39"/>
    <mergeCell ref="M40:N40"/>
    <mergeCell ref="M41:N41"/>
    <mergeCell ref="AA47:AC47"/>
    <mergeCell ref="AA48:AC48"/>
    <mergeCell ref="AA40:AC40"/>
    <mergeCell ref="AA41:AC41"/>
    <mergeCell ref="AA42:AC42"/>
    <mergeCell ref="AA43:AC43"/>
    <mergeCell ref="AA44:AC44"/>
    <mergeCell ref="AA45:AC45"/>
    <mergeCell ref="AA46:AC46"/>
    <mergeCell ref="Y19:Z19"/>
    <mergeCell ref="Y20:Z20"/>
    <mergeCell ref="Y21:Z21"/>
    <mergeCell ref="Y22:Z22"/>
    <mergeCell ref="AA22:AC22"/>
    <mergeCell ref="Y23:Z23"/>
    <mergeCell ref="AA23:AC23"/>
    <mergeCell ref="Y24:Z24"/>
    <mergeCell ref="AA24:AC24"/>
    <mergeCell ref="Y25:Z25"/>
    <mergeCell ref="AA25:AC25"/>
    <mergeCell ref="Y26:Z26"/>
    <mergeCell ref="AA26:AC26"/>
    <mergeCell ref="AA27:AC27"/>
    <mergeCell ref="Y29:Z29"/>
    <mergeCell ref="AA29:AC29"/>
    <mergeCell ref="Y30:Z30"/>
    <mergeCell ref="AA30:AC30"/>
    <mergeCell ref="Y31:Z31"/>
    <mergeCell ref="AA31:AC31"/>
    <mergeCell ref="AA32:AC32"/>
    <mergeCell ref="Y32:Z32"/>
    <mergeCell ref="Y33:Z33"/>
    <mergeCell ref="Y34:Z34"/>
    <mergeCell ref="Y35:Z35"/>
    <mergeCell ref="Y36:Z36"/>
    <mergeCell ref="Y37:Z37"/>
    <mergeCell ref="Y38:Z38"/>
    <mergeCell ref="AA33:AC33"/>
    <mergeCell ref="AA34:AC34"/>
    <mergeCell ref="AA35:AC35"/>
    <mergeCell ref="AA36:AC36"/>
    <mergeCell ref="AA37:AC37"/>
    <mergeCell ref="AA38:AC38"/>
    <mergeCell ref="AA39:AC39"/>
    <mergeCell ref="Y46:Z46"/>
    <mergeCell ref="Y47:Z47"/>
    <mergeCell ref="Y48:Z48"/>
    <mergeCell ref="Y39:Z39"/>
    <mergeCell ref="Y40:Z40"/>
    <mergeCell ref="Y41:Z41"/>
    <mergeCell ref="Y42:Z42"/>
    <mergeCell ref="Y43:Z43"/>
    <mergeCell ref="Y44:Z44"/>
    <mergeCell ref="Y45:Z45"/>
    <mergeCell ref="C20:E20"/>
    <mergeCell ref="C21:E21"/>
    <mergeCell ref="C22:E22"/>
    <mergeCell ref="C23:E23"/>
    <mergeCell ref="C24:E24"/>
    <mergeCell ref="C25:E25"/>
    <mergeCell ref="C26:E26"/>
    <mergeCell ref="G12:H12"/>
    <mergeCell ref="G13:H13"/>
    <mergeCell ref="G14:H14"/>
    <mergeCell ref="G15:H15"/>
    <mergeCell ref="G16:H16"/>
    <mergeCell ref="G17:H17"/>
    <mergeCell ref="G18:H18"/>
    <mergeCell ref="I2:K2"/>
    <mergeCell ref="M2:N2"/>
    <mergeCell ref="G5:H5"/>
    <mergeCell ref="I5:K5"/>
    <mergeCell ref="G6:H6"/>
    <mergeCell ref="I6:K6"/>
    <mergeCell ref="G7:H7"/>
    <mergeCell ref="I7:K7"/>
    <mergeCell ref="G8:K8"/>
    <mergeCell ref="G9:H9"/>
    <mergeCell ref="I9:K9"/>
    <mergeCell ref="G10:H10"/>
    <mergeCell ref="I10:K10"/>
    <mergeCell ref="G11:H11"/>
    <mergeCell ref="I11:K11"/>
    <mergeCell ref="I12:K12"/>
    <mergeCell ref="C27:E27"/>
    <mergeCell ref="C28:E28"/>
    <mergeCell ref="M24:N24"/>
    <mergeCell ref="M25:N25"/>
    <mergeCell ref="M26:N26"/>
    <mergeCell ref="M27:N27"/>
    <mergeCell ref="M28:N28"/>
    <mergeCell ref="M42:N42"/>
    <mergeCell ref="M43:N43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32:T32"/>
    <mergeCell ref="S33:T33"/>
    <mergeCell ref="S34:T34"/>
    <mergeCell ref="S35:T35"/>
    <mergeCell ref="S36:T36"/>
    <mergeCell ref="S44:T44"/>
    <mergeCell ref="S45:T45"/>
    <mergeCell ref="S46:T46"/>
    <mergeCell ref="S47:T47"/>
    <mergeCell ref="S48:T48"/>
    <mergeCell ref="S49:T49"/>
    <mergeCell ref="S37:T37"/>
    <mergeCell ref="S38:T38"/>
    <mergeCell ref="S39:T39"/>
    <mergeCell ref="S40:T40"/>
    <mergeCell ref="S41:T41"/>
    <mergeCell ref="S42:T42"/>
    <mergeCell ref="S43:T43"/>
    <mergeCell ref="I3:K3"/>
    <mergeCell ref="M3:N3"/>
    <mergeCell ref="I4:K4"/>
    <mergeCell ref="M4:N4"/>
    <mergeCell ref="O4:Q4"/>
    <mergeCell ref="O5:Q5"/>
    <mergeCell ref="O6:Q6"/>
    <mergeCell ref="O7:Q7"/>
    <mergeCell ref="M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2:Q2"/>
    <mergeCell ref="S2:T2"/>
    <mergeCell ref="S5:T5"/>
    <mergeCell ref="S6:T6"/>
    <mergeCell ref="S7:T7"/>
    <mergeCell ref="S9:T9"/>
    <mergeCell ref="S10:T10"/>
    <mergeCell ref="O18:Q18"/>
    <mergeCell ref="O19:Q19"/>
    <mergeCell ref="O20:Q20"/>
    <mergeCell ref="O21:Q21"/>
    <mergeCell ref="O22:Q22"/>
    <mergeCell ref="O23:Q23"/>
    <mergeCell ref="O24:Q24"/>
    <mergeCell ref="S29:T29"/>
    <mergeCell ref="S30:T30"/>
    <mergeCell ref="S31:T31"/>
    <mergeCell ref="O25:Q25"/>
    <mergeCell ref="O26:Q26"/>
    <mergeCell ref="O27:Q27"/>
    <mergeCell ref="O28:Q28"/>
    <mergeCell ref="O29:Q29"/>
    <mergeCell ref="O30:Q30"/>
    <mergeCell ref="O31:Q31"/>
    <mergeCell ref="U44:W44"/>
    <mergeCell ref="U45:W45"/>
    <mergeCell ref="U46:W46"/>
    <mergeCell ref="U47:W47"/>
    <mergeCell ref="U48:W48"/>
    <mergeCell ref="U49:W49"/>
    <mergeCell ref="Y49:Z49"/>
    <mergeCell ref="AA49:AC49"/>
    <mergeCell ref="U37:W37"/>
    <mergeCell ref="U38:W38"/>
    <mergeCell ref="U39:W39"/>
    <mergeCell ref="U40:W40"/>
    <mergeCell ref="U41:W41"/>
    <mergeCell ref="U42:W42"/>
    <mergeCell ref="U43:W43"/>
    <mergeCell ref="O3:Q3"/>
    <mergeCell ref="S3:T3"/>
    <mergeCell ref="G1:K1"/>
    <mergeCell ref="G2:H2"/>
    <mergeCell ref="G3:H3"/>
    <mergeCell ref="G4:H4"/>
    <mergeCell ref="M1:Q1"/>
    <mergeCell ref="S1:W1"/>
    <mergeCell ref="U2:W2"/>
    <mergeCell ref="U3:W3"/>
    <mergeCell ref="S4:T4"/>
    <mergeCell ref="U4:W4"/>
    <mergeCell ref="U5:W5"/>
    <mergeCell ref="U6:W6"/>
    <mergeCell ref="U7:W7"/>
    <mergeCell ref="S8:W8"/>
    <mergeCell ref="U9:W9"/>
    <mergeCell ref="U10:W10"/>
    <mergeCell ref="U11:W11"/>
    <mergeCell ref="U12:W12"/>
    <mergeCell ref="U13:W13"/>
    <mergeCell ref="U14:W14"/>
    <mergeCell ref="U15:W15"/>
    <mergeCell ref="U16:W16"/>
    <mergeCell ref="U17:W17"/>
    <mergeCell ref="U18:W18"/>
    <mergeCell ref="U19:W19"/>
    <mergeCell ref="U20:W20"/>
    <mergeCell ref="U21:W21"/>
    <mergeCell ref="U22:W22"/>
    <mergeCell ref="U23:W23"/>
    <mergeCell ref="U24:W24"/>
    <mergeCell ref="U25:W25"/>
    <mergeCell ref="U26:W26"/>
    <mergeCell ref="U27:W27"/>
    <mergeCell ref="U28:W28"/>
    <mergeCell ref="U29:W29"/>
    <mergeCell ref="U30:W30"/>
    <mergeCell ref="U31:W31"/>
    <mergeCell ref="U32:W32"/>
    <mergeCell ref="U33:W33"/>
    <mergeCell ref="U34:W34"/>
    <mergeCell ref="U35:W35"/>
    <mergeCell ref="U36:W36"/>
    <mergeCell ref="AA20:AC20"/>
    <mergeCell ref="AA21:AC21"/>
    <mergeCell ref="AA13:AC13"/>
    <mergeCell ref="AA14:AC14"/>
    <mergeCell ref="AA15:AC15"/>
    <mergeCell ref="AA16:AC16"/>
    <mergeCell ref="AA17:AC17"/>
    <mergeCell ref="AA18:AC18"/>
    <mergeCell ref="AA19:AC19"/>
    <mergeCell ref="S18:T18"/>
    <mergeCell ref="S19:T19"/>
    <mergeCell ref="S11:T11"/>
    <mergeCell ref="S12:T12"/>
    <mergeCell ref="S13:T13"/>
    <mergeCell ref="S14:T14"/>
    <mergeCell ref="S15:T15"/>
    <mergeCell ref="S16:T16"/>
    <mergeCell ref="S17:T17"/>
    <mergeCell ref="Y1:AC1"/>
    <mergeCell ref="Y2:Z2"/>
    <mergeCell ref="AA2:AC2"/>
    <mergeCell ref="Y3:Z3"/>
    <mergeCell ref="AA3:AC3"/>
    <mergeCell ref="Y4:Z4"/>
    <mergeCell ref="AA4:AC4"/>
    <mergeCell ref="Y5:Z5"/>
    <mergeCell ref="AA5:AC5"/>
    <mergeCell ref="Y6:Z6"/>
    <mergeCell ref="AA6:AC6"/>
    <mergeCell ref="Y7:Z7"/>
    <mergeCell ref="AA7:AC7"/>
    <mergeCell ref="Y8:AC8"/>
    <mergeCell ref="Y9:Z9"/>
    <mergeCell ref="AA9:AC9"/>
    <mergeCell ref="Y10:Z10"/>
    <mergeCell ref="AA10:AC10"/>
    <mergeCell ref="Y11:Z11"/>
    <mergeCell ref="AA11:AC11"/>
    <mergeCell ref="AA12:AC12"/>
    <mergeCell ref="Y12:Z12"/>
    <mergeCell ref="Y13:Z13"/>
    <mergeCell ref="Y14:Z14"/>
    <mergeCell ref="Y15:Z15"/>
    <mergeCell ref="Y16:Z16"/>
    <mergeCell ref="Y17:Z17"/>
    <mergeCell ref="Y18:Z18"/>
    <mergeCell ref="Y27:Z27"/>
    <mergeCell ref="Y28:Z28"/>
    <mergeCell ref="AA28:AC28"/>
  </mergeCells>
  <drawing r:id="rId1"/>
</worksheet>
</file>